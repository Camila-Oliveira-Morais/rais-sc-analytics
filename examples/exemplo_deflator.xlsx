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.o.morais\Documents\vscode\coleta_rais_ftp\examples\"/>
    </mc:Choice>
  </mc:AlternateContent>
  <xr:revisionPtr revIDLastSave="0" documentId="13_ncr:1_{FAD23BD0-668A-4FA5-A2E8-D210EF505E91}" xr6:coauthVersionLast="47" xr6:coauthVersionMax="47" xr10:uidLastSave="{00000000-0000-0000-0000-000000000000}"/>
  <bookViews>
    <workbookView xWindow="-28920" yWindow="-120" windowWidth="29040" windowHeight="15720" xr2:uid="{97E65CE2-35CE-4045-B975-655F227FD3E8}"/>
  </bookViews>
  <sheets>
    <sheet name="Análise com microd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C16" i="2"/>
  <c r="C15" i="2"/>
  <c r="C14" i="2"/>
  <c r="D14" i="2" s="1"/>
  <c r="C13" i="2"/>
  <c r="D6" i="2"/>
  <c r="D5" i="2"/>
  <c r="D4" i="2"/>
  <c r="D3" i="2"/>
  <c r="D15" i="2" l="1"/>
  <c r="D16" i="2" l="1"/>
  <c r="E15" i="2"/>
  <c r="B31" i="2" s="1"/>
  <c r="E13" i="2" l="1"/>
  <c r="B29" i="2" s="1"/>
  <c r="E16" i="2"/>
  <c r="B32" i="2" s="1"/>
  <c r="E14" i="2"/>
  <c r="B30" i="2" s="1"/>
</calcChain>
</file>

<file path=xl/sharedStrings.xml><?xml version="1.0" encoding="utf-8"?>
<sst xmlns="http://schemas.openxmlformats.org/spreadsheetml/2006/main" count="25" uniqueCount="23">
  <si>
    <t>Fabricação de máquinas e equipamentos para a indústria do plástico, peças e acessórios</t>
  </si>
  <si>
    <t>Ano</t>
  </si>
  <si>
    <t>Soma de Valor Ponderado</t>
  </si>
  <si>
    <t>Soma de vl_salario_medio_3112_nom</t>
  </si>
  <si>
    <t>Valor salário nominal</t>
  </si>
  <si>
    <t>INPC tabela 7063</t>
  </si>
  <si>
    <t>Mês</t>
  </si>
  <si>
    <t>% acumulado ano</t>
  </si>
  <si>
    <t>índice</t>
  </si>
  <si>
    <t>índice acumulado</t>
  </si>
  <si>
    <t>deflator</t>
  </si>
  <si>
    <t>dezembro 2022</t>
  </si>
  <si>
    <t>dezembro 2023</t>
  </si>
  <si>
    <t>dezembro 2024</t>
  </si>
  <si>
    <t>dezembro 2025</t>
  </si>
  <si>
    <t>Valoroes reais a preços de 2025 gerados pelo script</t>
  </si>
  <si>
    <t>Soma de vl_salario_medio_3112_real</t>
  </si>
  <si>
    <t>Soma de qt_vinculos_ativos_total</t>
  </si>
  <si>
    <t>Valor salário real</t>
  </si>
  <si>
    <t>Conferência valor real</t>
  </si>
  <si>
    <t>Valor real</t>
  </si>
  <si>
    <t>API SIDRA:</t>
  </si>
  <si>
    <t>https://apisidra.ibge.gov.br/values/t/7063/n1/all/v/68/p/202212,202312,202412,202512/c315/7169/d/v68%202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</si>
</sst>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left"/>
    </xf>
    <xf numFmtId="3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3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325754</xdr:colOff>
      <xdr:row>1</xdr:row>
      <xdr:rowOff>87629</xdr:rowOff>
    </xdr:from>
    <xdr:to>
      <xdr:col>28</xdr:col>
      <xdr:colOff>591549</xdr:colOff>
      <xdr:row>17</xdr:row>
      <xdr:rowOff>37147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1643BA-F815-4B26-ADF5-985030DF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19" y="270509"/>
          <a:ext cx="13676995" cy="3186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pisidra.ibge.gov.br/values/t/7063/n1/all/v/68/p/202212,202312,202412,202512/c315/7169/d/v68%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7148-2B02-41DB-969F-E7013E3AF9C5}">
  <dimension ref="A1:E35"/>
  <sheetViews>
    <sheetView showGridLines="0" tabSelected="1" zoomScale="80" zoomScaleNormal="80" workbookViewId="0">
      <selection activeCell="L32" sqref="L32"/>
    </sheetView>
  </sheetViews>
  <sheetFormatPr defaultRowHeight="14.4" x14ac:dyDescent="0.3"/>
  <cols>
    <col min="1" max="1" width="18.77734375" customWidth="1"/>
    <col min="2" max="3" width="23.44140625" customWidth="1"/>
    <col min="4" max="4" width="19" customWidth="1"/>
    <col min="5" max="5" width="18.44140625" customWidth="1"/>
  </cols>
  <sheetData>
    <row r="1" spans="1:5" x14ac:dyDescent="0.3">
      <c r="A1" s="1" t="s">
        <v>0</v>
      </c>
    </row>
    <row r="2" spans="1:5" ht="43.2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5" x14ac:dyDescent="0.3">
      <c r="A3" s="3">
        <v>2022</v>
      </c>
      <c r="B3" s="4">
        <v>1119737.4299999997</v>
      </c>
      <c r="C3" s="4">
        <v>323</v>
      </c>
      <c r="D3" s="5">
        <f t="shared" ref="D3:D6" si="0">B3/C3</f>
        <v>3466.6793498452002</v>
      </c>
    </row>
    <row r="4" spans="1:5" x14ac:dyDescent="0.3">
      <c r="A4" s="3">
        <v>2023</v>
      </c>
      <c r="B4" s="4">
        <v>1314812.0700000005</v>
      </c>
      <c r="C4" s="4">
        <v>337</v>
      </c>
      <c r="D4" s="5">
        <f t="shared" si="0"/>
        <v>3901.5194955489628</v>
      </c>
    </row>
    <row r="5" spans="1:5" x14ac:dyDescent="0.3">
      <c r="A5" s="3">
        <v>2024</v>
      </c>
      <c r="B5" s="4">
        <v>1480393.9900000002</v>
      </c>
      <c r="C5" s="4">
        <v>362</v>
      </c>
      <c r="D5" s="5">
        <f t="shared" si="0"/>
        <v>4089.4861602209953</v>
      </c>
    </row>
    <row r="6" spans="1:5" x14ac:dyDescent="0.3">
      <c r="A6" s="6">
        <v>2025</v>
      </c>
      <c r="B6" s="7">
        <v>1487950.7199999995</v>
      </c>
      <c r="C6" s="7">
        <v>347</v>
      </c>
      <c r="D6" s="8">
        <f t="shared" si="0"/>
        <v>4288.0424207492779</v>
      </c>
    </row>
    <row r="7" spans="1:5" x14ac:dyDescent="0.3">
      <c r="B7" s="9"/>
      <c r="C7" s="9"/>
    </row>
    <row r="9" spans="1:5" ht="12" customHeight="1" x14ac:dyDescent="0.3"/>
    <row r="11" spans="1:5" x14ac:dyDescent="0.3">
      <c r="A11" s="1" t="s">
        <v>5</v>
      </c>
    </row>
    <row r="12" spans="1:5" x14ac:dyDescent="0.3">
      <c r="A12" s="10" t="s">
        <v>6</v>
      </c>
      <c r="B12" s="10" t="s">
        <v>7</v>
      </c>
      <c r="C12" s="10" t="s">
        <v>8</v>
      </c>
      <c r="D12" s="10" t="s">
        <v>9</v>
      </c>
      <c r="E12" s="10" t="s">
        <v>10</v>
      </c>
    </row>
    <row r="13" spans="1:5" x14ac:dyDescent="0.3">
      <c r="A13" t="s">
        <v>11</v>
      </c>
      <c r="B13" s="11">
        <v>5.93</v>
      </c>
      <c r="C13" s="12">
        <f>B13/100+1</f>
        <v>1.0592999999999999</v>
      </c>
      <c r="D13" s="13">
        <v>1</v>
      </c>
      <c r="E13">
        <f>D13/$D$16</f>
        <v>0.88578204801489158</v>
      </c>
    </row>
    <row r="14" spans="1:5" x14ac:dyDescent="0.3">
      <c r="A14" t="s">
        <v>12</v>
      </c>
      <c r="B14" s="11">
        <v>3.71</v>
      </c>
      <c r="C14" s="12">
        <f t="shared" ref="C14:C16" si="1">B14/100+1</f>
        <v>1.0370999999999999</v>
      </c>
      <c r="D14" s="13">
        <f>D13*C14</f>
        <v>1.0370999999999999</v>
      </c>
      <c r="E14">
        <f t="shared" ref="E14:E16" si="2">D14/$D$16</f>
        <v>0.918644561996244</v>
      </c>
    </row>
    <row r="15" spans="1:5" x14ac:dyDescent="0.3">
      <c r="A15" t="s">
        <v>13</v>
      </c>
      <c r="B15" s="11">
        <v>4.7699999999999996</v>
      </c>
      <c r="C15" s="12">
        <f t="shared" si="1"/>
        <v>1.0477000000000001</v>
      </c>
      <c r="D15" s="13">
        <f t="shared" ref="D15:D16" si="3">D14*C15</f>
        <v>1.08656967</v>
      </c>
      <c r="E15">
        <f t="shared" si="2"/>
        <v>0.9624639076034649</v>
      </c>
    </row>
    <row r="16" spans="1:5" x14ac:dyDescent="0.3">
      <c r="A16" t="s">
        <v>14</v>
      </c>
      <c r="B16" s="11">
        <v>3.9</v>
      </c>
      <c r="C16" s="12">
        <f t="shared" si="1"/>
        <v>1.0389999999999999</v>
      </c>
      <c r="D16" s="13">
        <f t="shared" si="3"/>
        <v>1.12894588713</v>
      </c>
      <c r="E16">
        <f t="shared" si="2"/>
        <v>1</v>
      </c>
    </row>
    <row r="19" spans="1:4" x14ac:dyDescent="0.3">
      <c r="A19" s="1" t="s">
        <v>15</v>
      </c>
    </row>
    <row r="20" spans="1:4" ht="43.2" x14ac:dyDescent="0.3">
      <c r="A20" s="2" t="s">
        <v>1</v>
      </c>
      <c r="B20" s="2" t="s">
        <v>16</v>
      </c>
      <c r="C20" s="2" t="s">
        <v>17</v>
      </c>
      <c r="D20" s="2" t="s">
        <v>18</v>
      </c>
    </row>
    <row r="21" spans="1:4" x14ac:dyDescent="0.3">
      <c r="A21" s="3">
        <v>2022</v>
      </c>
      <c r="B21" s="5">
        <v>328649.06106833991</v>
      </c>
      <c r="C21" s="11">
        <v>323</v>
      </c>
      <c r="D21" s="5">
        <f>B21/C21</f>
        <v>1017.4893531527551</v>
      </c>
    </row>
    <row r="22" spans="1:4" x14ac:dyDescent="0.3">
      <c r="A22" s="3">
        <v>2023</v>
      </c>
      <c r="B22" s="5">
        <v>367469.80573918729</v>
      </c>
      <c r="C22" s="11">
        <v>337</v>
      </c>
      <c r="D22" s="5">
        <f t="shared" ref="D22:D24" si="4">B22/C22</f>
        <v>1090.4148538254815</v>
      </c>
    </row>
    <row r="23" spans="1:4" x14ac:dyDescent="0.3">
      <c r="A23" s="3">
        <v>2024</v>
      </c>
      <c r="B23" s="5">
        <v>393257.05307312671</v>
      </c>
      <c r="C23" s="11">
        <v>362</v>
      </c>
      <c r="D23" s="5">
        <f t="shared" si="4"/>
        <v>1086.3454504782505</v>
      </c>
    </row>
    <row r="24" spans="1:4" x14ac:dyDescent="0.3">
      <c r="A24" s="6">
        <v>2025</v>
      </c>
      <c r="B24" s="8">
        <v>397373.72522704519</v>
      </c>
      <c r="C24" s="7">
        <v>347</v>
      </c>
      <c r="D24" s="8">
        <f t="shared" si="4"/>
        <v>1145.1692369655482</v>
      </c>
    </row>
    <row r="27" spans="1:4" x14ac:dyDescent="0.3">
      <c r="A27" s="1" t="s">
        <v>19</v>
      </c>
    </row>
    <row r="28" spans="1:4" x14ac:dyDescent="0.3">
      <c r="A28" s="2" t="s">
        <v>1</v>
      </c>
      <c r="B28" s="2" t="s">
        <v>20</v>
      </c>
    </row>
    <row r="29" spans="1:4" x14ac:dyDescent="0.3">
      <c r="A29" s="3">
        <v>2022</v>
      </c>
      <c r="B29" s="5">
        <f>D3/$E13</f>
        <v>3913.6933940062413</v>
      </c>
    </row>
    <row r="30" spans="1:4" x14ac:dyDescent="0.3">
      <c r="A30" s="3">
        <v>2023</v>
      </c>
      <c r="B30" s="5">
        <f t="shared" ref="B30:B32" si="5">D4/$E14</f>
        <v>4247.0392325306275</v>
      </c>
    </row>
    <row r="31" spans="1:4" x14ac:dyDescent="0.3">
      <c r="A31" s="3">
        <v>2024</v>
      </c>
      <c r="B31" s="5">
        <f t="shared" si="5"/>
        <v>4248.9761204696142</v>
      </c>
    </row>
    <row r="32" spans="1:4" x14ac:dyDescent="0.3">
      <c r="A32" s="6">
        <v>2025</v>
      </c>
      <c r="B32" s="8">
        <f t="shared" si="5"/>
        <v>4288.0424207492779</v>
      </c>
    </row>
    <row r="35" spans="1:2" x14ac:dyDescent="0.3">
      <c r="A35" t="s">
        <v>21</v>
      </c>
      <c r="B35" s="14" t="s">
        <v>22</v>
      </c>
    </row>
  </sheetData>
  <hyperlinks>
    <hyperlink ref="B35" r:id="rId1" xr:uid="{E39DF84C-BC43-4DD8-99DA-587A739F936F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com microdados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DE OLIVEIRA MORAIS</dc:creator>
  <cp:lastModifiedBy>CAMILA DE OLIVEIRA MORAIS</cp:lastModifiedBy>
  <dcterms:created xsi:type="dcterms:W3CDTF">2026-06-25T14:15:00Z</dcterms:created>
  <dcterms:modified xsi:type="dcterms:W3CDTF">2026-06-25T14:16:53Z</dcterms:modified>
</cp:coreProperties>
</file>